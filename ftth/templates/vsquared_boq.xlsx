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/>
  </bookViews>
  <sheets>
    <sheet name="BOQ" sheetId="1" r:id="rId1"/>
    <sheet name="Price Lis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<sst xmlns="http://schemas.openxmlformats.org/spreadsheetml/2006/main" count="186" uniqueCount="79">
  <si>
    <t>V SQUARED_FY 2025_WANGIGE SECTION 1(KAMUTIINI AREA)</t>
  </si>
  <si>
    <t>Project Overview :</t>
  </si>
  <si>
    <t>Project Name:</t>
  </si>
  <si>
    <t>Description:</t>
  </si>
  <si>
    <t>FTTH</t>
  </si>
  <si>
    <t>Contractor:</t>
  </si>
  <si>
    <t>Status:</t>
  </si>
  <si>
    <t>PLANNED</t>
  </si>
  <si>
    <t>Start:</t>
  </si>
  <si>
    <t>19/09/2025</t>
  </si>
  <si>
    <t>Finish:</t>
  </si>
  <si>
    <t>Item Description</t>
  </si>
  <si>
    <t>Costs(Ksh)</t>
  </si>
  <si>
    <t>Implementation Costs</t>
  </si>
  <si>
    <t>Material Cost</t>
  </si>
  <si>
    <t>Total Excluding VAT (Implemenation + Material Costs)</t>
  </si>
  <si>
    <t>Section A Implementation Costs</t>
  </si>
  <si>
    <t>Item</t>
  </si>
  <si>
    <t>UOM</t>
  </si>
  <si>
    <t>Price(Ksh)</t>
  </si>
  <si>
    <t>QTY</t>
  </si>
  <si>
    <t>Total(Ksh)</t>
  </si>
  <si>
    <t>Cable</t>
  </si>
  <si>
    <t>Installation of Aerial Cable</t>
  </si>
  <si>
    <t>M</t>
  </si>
  <si>
    <t>Duct</t>
  </si>
  <si>
    <t>Install PlasticTrunking size 38*25mm</t>
  </si>
  <si>
    <t>Trench</t>
  </si>
  <si>
    <t>Civil Works for Main Route(1.2 Trench)</t>
  </si>
  <si>
    <t>Building</t>
  </si>
  <si>
    <t>Building Cabling</t>
  </si>
  <si>
    <t>PCS</t>
  </si>
  <si>
    <t xml:space="preserve">Total Section A Implementation Costs : </t>
  </si>
  <si>
    <t>Section B Material Costs</t>
  </si>
  <si>
    <t>Price(Ksh) Exc VAT</t>
  </si>
  <si>
    <t>ADSS fiber cable, 100m s/s clear span 48xSM G652D</t>
  </si>
  <si>
    <t>ADSS fiber cable, 100m s/s clear span 24xSM G652D</t>
  </si>
  <si>
    <t>HDPE Low Friction, Silicon lined  32/26mm</t>
  </si>
  <si>
    <t>FAT</t>
  </si>
  <si>
    <t>FAT 16 Port wall/pole mounted outdoor plastic</t>
  </si>
  <si>
    <t>FAT 24 Port wall/pole mounted outdoor plastic</t>
  </si>
  <si>
    <t>Splice Closure</t>
  </si>
  <si>
    <t>Fiber Termination Box 48c-ADSS</t>
  </si>
  <si>
    <t>Junction Box</t>
  </si>
  <si>
    <t>Junction Box 24P ADSS</t>
  </si>
  <si>
    <t>Pole</t>
  </si>
  <si>
    <t>Pole, Supply &amp; installation Wooden 8m</t>
  </si>
  <si>
    <t>Pole Accessories</t>
  </si>
  <si>
    <t>Supply of J - Hooks(Small)</t>
  </si>
  <si>
    <t>Supply of J - Hooks(Large)</t>
  </si>
  <si>
    <t>Supply of Universal Pole bracket</t>
  </si>
  <si>
    <t>Supply of Pole Tension Clamp PA 1500</t>
  </si>
  <si>
    <t>Supply of Pole Tension Clamp PA 2000</t>
  </si>
  <si>
    <t>Supply of Pole Steel Straps</t>
  </si>
  <si>
    <t>Supply of Buckle Clips</t>
  </si>
  <si>
    <t>Supply of Cable Ties (Large)</t>
  </si>
  <si>
    <t>PKT</t>
  </si>
  <si>
    <t>Supply of Extension Arms(Medium)</t>
  </si>
  <si>
    <t>Supply of Extension Arms(Large)</t>
  </si>
  <si>
    <t>Splitter</t>
  </si>
  <si>
    <t>1X16 splitters for closures</t>
  </si>
  <si>
    <t>1X8 splitters for closures</t>
  </si>
  <si>
    <t xml:space="preserve">Total Section B Material Costs : </t>
  </si>
  <si>
    <t>APPROVAL:</t>
  </si>
  <si>
    <t>Title</t>
  </si>
  <si>
    <t>Name</t>
  </si>
  <si>
    <t>Signature</t>
  </si>
  <si>
    <t>Date</t>
  </si>
  <si>
    <t xml:space="preserve">Planning Manager </t>
  </si>
  <si>
    <t>KEVIN MUTURI</t>
  </si>
  <si>
    <t>Operations Director</t>
  </si>
  <si>
    <t>GEORGE CHOMBA</t>
  </si>
  <si>
    <t xml:space="preserve">Infrastructure Director </t>
  </si>
  <si>
    <t>DANIEL MUNGAI</t>
  </si>
  <si>
    <t>Chief Finance Officer</t>
  </si>
  <si>
    <t>LUCY KAMAU</t>
  </si>
  <si>
    <t>Chief Executive Officer</t>
  </si>
  <si>
    <t>FREDRICK MACHARIA</t>
  </si>
  <si>
    <t>Unit Price (Exc VAT)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</si>
</sst>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[$Ksh-441]#,##0.00"/>
    <numFmt numFmtId="178" formatCode="_(* #,##0_);_(* \(#,##0\);_(* &quot;-&quot;??_);_(@_)"/>
  </numFmts>
  <fonts count="29">
    <font>
      <sz val="11"/>
      <color indexed="8"/>
      <name val="Calibri"/>
      <charset val="134"/>
      <scheme val="minor"/>
    </font>
    <font>
      <b/>
      <sz val="11"/>
      <color indexed="8"/>
      <name val="Calibri"/>
      <charset val="134"/>
      <scheme val="minor"/>
    </font>
    <font>
      <b/>
      <sz val="12"/>
      <color indexed="8"/>
      <name val="Arial"/>
      <charset val="134"/>
    </font>
    <font>
      <b/>
      <sz val="12"/>
      <color indexed="9"/>
      <name val="Arial"/>
      <charset val="134"/>
    </font>
    <font>
      <sz val="10"/>
      <color indexed="8"/>
      <name val="Arial"/>
      <charset val="134"/>
    </font>
    <font>
      <b/>
      <sz val="10"/>
      <color indexed="8"/>
      <name val="Arial"/>
      <charset val="134"/>
    </font>
    <font>
      <b/>
      <sz val="12"/>
      <color theme="0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/>
      <right/>
      <top/>
      <bottom style="thin">
        <color indexed="8"/>
      </bottom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2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8" applyNumberFormat="0" applyFill="0" applyAlignment="0" applyProtection="0">
      <alignment vertical="center"/>
    </xf>
    <xf numFmtId="0" fontId="16" fillId="0" borderId="28" applyNumberFormat="0" applyFill="0" applyAlignment="0" applyProtection="0">
      <alignment vertical="center"/>
    </xf>
    <xf numFmtId="0" fontId="17" fillId="0" borderId="2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30" applyNumberFormat="0" applyAlignment="0" applyProtection="0">
      <alignment vertical="center"/>
    </xf>
    <xf numFmtId="0" fontId="19" fillId="7" borderId="31" applyNumberFormat="0" applyAlignment="0" applyProtection="0">
      <alignment vertical="center"/>
    </xf>
    <xf numFmtId="0" fontId="20" fillId="7" borderId="30" applyNumberFormat="0" applyAlignment="0" applyProtection="0">
      <alignment vertical="center"/>
    </xf>
    <xf numFmtId="0" fontId="21" fillId="8" borderId="32" applyNumberFormat="0" applyAlignment="0" applyProtection="0">
      <alignment vertical="center"/>
    </xf>
    <xf numFmtId="0" fontId="22" fillId="0" borderId="33" applyNumberFormat="0" applyFill="0" applyAlignment="0" applyProtection="0">
      <alignment vertical="center"/>
    </xf>
    <xf numFmtId="0" fontId="23" fillId="0" borderId="34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98">
    <xf numFmtId="0" fontId="0" fillId="0" borderId="0" xfId="0"/>
    <xf numFmtId="43" fontId="0" fillId="0" borderId="0" xfId="1" applyFont="1"/>
    <xf numFmtId="0" fontId="1" fillId="0" borderId="0" xfId="0" applyFont="1"/>
    <xf numFmtId="0" fontId="0" fillId="0" borderId="1" xfId="0" applyBorder="1"/>
    <xf numFmtId="43" fontId="0" fillId="0" borderId="1" xfId="1" applyFont="1" applyBorder="1"/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0" fillId="0" borderId="3" xfId="0" applyFill="1" applyBorder="1"/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0" fillId="3" borderId="3" xfId="0" applyFill="1" applyBorder="1"/>
    <xf numFmtId="0" fontId="4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center"/>
    </xf>
    <xf numFmtId="0" fontId="0" fillId="3" borderId="4" xfId="0" applyFill="1" applyBorder="1"/>
    <xf numFmtId="0" fontId="4" fillId="0" borderId="6" xfId="0" applyFont="1" applyBorder="1" applyAlignment="1">
      <alignment horizontal="left" vertical="top" wrapText="1"/>
    </xf>
    <xf numFmtId="0" fontId="0" fillId="0" borderId="4" xfId="0" applyFill="1" applyBorder="1"/>
    <xf numFmtId="0" fontId="4" fillId="0" borderId="5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0" fillId="0" borderId="13" xfId="0" applyFill="1" applyBorder="1"/>
    <xf numFmtId="0" fontId="5" fillId="3" borderId="1" xfId="0" applyFont="1" applyFill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0" fillId="0" borderId="18" xfId="0" applyFill="1" applyBorder="1"/>
    <xf numFmtId="0" fontId="0" fillId="0" borderId="1" xfId="0" applyFill="1" applyBorder="1"/>
    <xf numFmtId="0" fontId="4" fillId="0" borderId="19" xfId="0" applyFont="1" applyBorder="1" applyAlignment="1">
      <alignment horizontal="left" vertical="top" wrapText="1"/>
    </xf>
    <xf numFmtId="0" fontId="0" fillId="0" borderId="0" xfId="0" applyFill="1" applyBorder="1"/>
    <xf numFmtId="0" fontId="5" fillId="3" borderId="20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4" fillId="0" borderId="23" xfId="0" applyFont="1" applyBorder="1" applyAlignment="1">
      <alignment vertical="top" wrapText="1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2" fillId="3" borderId="7" xfId="0" applyFont="1" applyFill="1" applyBorder="1" applyAlignment="1">
      <alignment horizontal="right" vertical="center"/>
    </xf>
    <xf numFmtId="0" fontId="2" fillId="3" borderId="8" xfId="0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right" vertical="center"/>
    </xf>
    <xf numFmtId="4" fontId="0" fillId="0" borderId="7" xfId="0" applyNumberFormat="1" applyFill="1" applyBorder="1" applyAlignment="1">
      <alignment horizontal="right"/>
    </xf>
    <xf numFmtId="4" fontId="0" fillId="0" borderId="8" xfId="0" applyNumberFormat="1" applyFill="1" applyBorder="1" applyAlignment="1">
      <alignment horizontal="right"/>
    </xf>
    <xf numFmtId="4" fontId="0" fillId="0" borderId="9" xfId="0" applyNumberFormat="1" applyFill="1" applyBorder="1" applyAlignment="1">
      <alignment horizontal="right"/>
    </xf>
    <xf numFmtId="4" fontId="8" fillId="0" borderId="7" xfId="0" applyNumberFormat="1" applyFont="1" applyFill="1" applyBorder="1" applyAlignment="1">
      <alignment horizontal="right"/>
    </xf>
    <xf numFmtId="4" fontId="8" fillId="0" borderId="8" xfId="0" applyNumberFormat="1" applyFont="1" applyFill="1" applyBorder="1" applyAlignment="1">
      <alignment horizontal="right"/>
    </xf>
    <xf numFmtId="4" fontId="8" fillId="0" borderId="9" xfId="0" applyNumberFormat="1" applyFont="1" applyFill="1" applyBorder="1" applyAlignment="1">
      <alignment horizontal="right"/>
    </xf>
    <xf numFmtId="2" fontId="0" fillId="0" borderId="2" xfId="0" applyNumberFormat="1" applyFill="1" applyBorder="1" applyAlignment="1">
      <alignment horizontal="right"/>
    </xf>
    <xf numFmtId="2" fontId="0" fillId="0" borderId="4" xfId="0" applyNumberFormat="1" applyFill="1" applyBorder="1"/>
    <xf numFmtId="4" fontId="0" fillId="0" borderId="2" xfId="0" applyNumberFormat="1" applyFill="1" applyBorder="1" applyAlignment="1">
      <alignment horizontal="right"/>
    </xf>
    <xf numFmtId="4" fontId="0" fillId="0" borderId="4" xfId="0" applyNumberFormat="1" applyFill="1" applyBorder="1" applyAlignment="1">
      <alignment horizontal="right"/>
    </xf>
    <xf numFmtId="2" fontId="0" fillId="0" borderId="24" xfId="0" applyNumberFormat="1" applyFill="1" applyBorder="1" applyAlignment="1">
      <alignment horizontal="right"/>
    </xf>
    <xf numFmtId="2" fontId="0" fillId="0" borderId="13" xfId="0" applyNumberFormat="1" applyFill="1" applyBorder="1"/>
    <xf numFmtId="4" fontId="0" fillId="0" borderId="24" xfId="0" applyNumberFormat="1" applyFill="1" applyBorder="1" applyAlignment="1">
      <alignment horizontal="right"/>
    </xf>
    <xf numFmtId="177" fontId="1" fillId="3" borderId="7" xfId="0" applyNumberFormat="1" applyFont="1" applyFill="1" applyBorder="1" applyAlignment="1">
      <alignment horizontal="right"/>
    </xf>
    <xf numFmtId="177" fontId="1" fillId="3" borderId="9" xfId="0" applyNumberFormat="1" applyFont="1" applyFill="1" applyBorder="1" applyAlignment="1">
      <alignment horizontal="right"/>
    </xf>
    <xf numFmtId="178" fontId="0" fillId="0" borderId="2" xfId="1" applyNumberFormat="1" applyFont="1" applyFill="1" applyBorder="1" applyAlignment="1">
      <alignment horizontal="right"/>
    </xf>
    <xf numFmtId="178" fontId="0" fillId="0" borderId="4" xfId="1" applyNumberFormat="1" applyFont="1" applyFill="1" applyBorder="1"/>
    <xf numFmtId="178" fontId="0" fillId="4" borderId="2" xfId="1" applyNumberFormat="1" applyFont="1" applyFill="1" applyBorder="1" applyAlignment="1">
      <alignment horizontal="right"/>
    </xf>
    <xf numFmtId="178" fontId="0" fillId="4" borderId="4" xfId="1" applyNumberFormat="1" applyFont="1" applyFill="1" applyBorder="1"/>
    <xf numFmtId="178" fontId="0" fillId="0" borderId="2" xfId="1" applyNumberFormat="1" applyFont="1" applyFill="1" applyBorder="1" applyAlignment="1">
      <alignment horizontal="right"/>
    </xf>
    <xf numFmtId="178" fontId="0" fillId="0" borderId="4" xfId="1" applyNumberFormat="1" applyFont="1" applyFill="1" applyBorder="1"/>
    <xf numFmtId="178" fontId="0" fillId="0" borderId="24" xfId="1" applyNumberFormat="1" applyFont="1" applyFill="1" applyBorder="1" applyAlignment="1">
      <alignment horizontal="right"/>
    </xf>
    <xf numFmtId="178" fontId="0" fillId="0" borderId="13" xfId="1" applyNumberFormat="1" applyFont="1" applyFill="1" applyBorder="1"/>
    <xf numFmtId="178" fontId="0" fillId="0" borderId="1" xfId="1" applyNumberFormat="1" applyFont="1" applyFill="1" applyBorder="1" applyAlignment="1">
      <alignment horizontal="right"/>
    </xf>
    <xf numFmtId="178" fontId="0" fillId="0" borderId="1" xfId="1" applyNumberFormat="1" applyFont="1" applyFill="1" applyBorder="1"/>
    <xf numFmtId="2" fontId="0" fillId="0" borderId="1" xfId="0" applyNumberFormat="1" applyFill="1" applyBorder="1" applyAlignment="1">
      <alignment horizontal="right"/>
    </xf>
    <xf numFmtId="2" fontId="0" fillId="0" borderId="1" xfId="0" applyNumberFormat="1" applyFill="1" applyBorder="1"/>
    <xf numFmtId="4" fontId="0" fillId="0" borderId="1" xfId="0" applyNumberFormat="1" applyFill="1" applyBorder="1" applyAlignment="1">
      <alignment horizontal="right"/>
    </xf>
    <xf numFmtId="177" fontId="1" fillId="3" borderId="18" xfId="0" applyNumberFormat="1" applyFont="1" applyFill="1" applyBorder="1" applyAlignment="1">
      <alignment horizontal="center"/>
    </xf>
    <xf numFmtId="177" fontId="1" fillId="3" borderId="25" xfId="0" applyNumberFormat="1" applyFont="1" applyFill="1" applyBorder="1" applyAlignment="1">
      <alignment horizontal="center"/>
    </xf>
    <xf numFmtId="0" fontId="2" fillId="3" borderId="2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198120</xdr:colOff>
      <xdr:row>0</xdr:row>
      <xdr:rowOff>106680</xdr:rowOff>
    </xdr:from>
    <xdr:to>
      <xdr:col>4</xdr:col>
      <xdr:colOff>353695</xdr:colOff>
      <xdr:row>0</xdr:row>
      <xdr:rowOff>589389</xdr:rowOff>
    </xdr:to>
    <xdr:pic>
      <xdr:nvPicPr>
        <xdr:cNvPr id="6" name="Picture 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2560" y="106680"/>
          <a:ext cx="1390015" cy="482600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0</xdr:row>
      <xdr:rowOff>0</xdr:rowOff>
    </xdr:from>
    <xdr:to>
      <xdr:col>14</xdr:col>
      <xdr:colOff>0</xdr:colOff>
      <xdr:row>0</xdr:row>
      <xdr:rowOff>626108</xdr:rowOff>
    </xdr:to>
    <xdr:pic>
      <xdr:nvPicPr>
        <xdr:cNvPr id="8" name="Picture 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0"/>
          <a:ext cx="1539240" cy="625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P62"/>
  <sheetViews>
    <sheetView showGridLines="0" tabSelected="1" workbookViewId="0">
      <selection activeCell="N68" sqref="N68"/>
    </sheetView>
  </sheetViews>
  <sheetFormatPr defaultColWidth="9" defaultRowHeight="14.4"/>
  <cols>
    <col min="5" max="5" width="7" customWidth="1"/>
    <col min="6" max="6" width="31.287037037037" customWidth="1"/>
    <col min="7" max="7" width="12" customWidth="1"/>
    <col min="8" max="8" width="6.57407407407407" hidden="1" customWidth="1"/>
    <col min="9" max="9" width="10.8518518518519" customWidth="1"/>
    <col min="10" max="10" width="9.13888888888889" customWidth="1"/>
    <col min="11" max="12" width="6" customWidth="1"/>
    <col min="13" max="13" width="5" customWidth="1"/>
    <col min="14" max="14" width="12" customWidth="1"/>
  </cols>
  <sheetData>
    <row r="1" ht="49.9" customHeight="1" spans="3:16">
      <c r="C1" s="5"/>
      <c r="D1" s="6"/>
      <c r="E1" s="7"/>
      <c r="I1" s="54"/>
      <c r="J1" s="54"/>
      <c r="K1" s="54"/>
      <c r="L1" s="55"/>
      <c r="M1" s="55"/>
      <c r="N1" s="55"/>
      <c r="P1" s="56"/>
    </row>
    <row r="3" ht="19.9" customHeight="1" spans="3:14">
      <c r="C3" s="8" t="s"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5" ht="15" customHeight="1" spans="3:14">
      <c r="C5" s="9" t="s">
        <v>1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ht="15.6" customHeight="1" spans="3:14">
      <c r="C6" s="11" t="s">
        <v>2</v>
      </c>
      <c r="D6" s="12"/>
      <c r="E6" s="12"/>
      <c r="F6" s="13" t="s">
        <v>0</v>
      </c>
      <c r="G6" s="14"/>
      <c r="H6" s="14"/>
      <c r="I6" s="14"/>
      <c r="J6" s="14"/>
      <c r="K6" s="14"/>
      <c r="L6" s="14"/>
      <c r="M6" s="14"/>
      <c r="N6" s="21"/>
    </row>
    <row r="7" ht="15.6" spans="3:14">
      <c r="C7" s="11" t="s">
        <v>3</v>
      </c>
      <c r="D7" s="12"/>
      <c r="E7" s="12"/>
      <c r="F7" s="13" t="s">
        <v>4</v>
      </c>
      <c r="G7" s="14"/>
      <c r="H7" s="14"/>
      <c r="I7" s="14"/>
      <c r="J7" s="14"/>
      <c r="K7" s="14"/>
      <c r="L7" s="14"/>
      <c r="M7" s="14"/>
      <c r="N7" s="21"/>
    </row>
    <row r="8" ht="15.6" spans="3:14">
      <c r="C8" s="15" t="s">
        <v>5</v>
      </c>
      <c r="D8" s="16"/>
      <c r="E8" s="16"/>
      <c r="F8" s="13"/>
      <c r="G8" s="14"/>
      <c r="H8" s="14"/>
      <c r="I8" s="14"/>
      <c r="J8" s="14"/>
      <c r="K8" s="14"/>
      <c r="L8" s="14"/>
      <c r="M8" s="14"/>
      <c r="N8" s="21"/>
    </row>
    <row r="9" ht="15.6" spans="3:14">
      <c r="C9" s="11" t="s">
        <v>6</v>
      </c>
      <c r="D9" s="12"/>
      <c r="E9" s="12"/>
      <c r="F9" s="13" t="s">
        <v>7</v>
      </c>
      <c r="G9" s="14"/>
      <c r="H9" s="14"/>
      <c r="I9" s="14"/>
      <c r="J9" s="14"/>
      <c r="K9" s="14"/>
      <c r="L9" s="14"/>
      <c r="M9" s="14"/>
      <c r="N9" s="21"/>
    </row>
    <row r="10" ht="15.6" spans="3:14">
      <c r="C10" s="11" t="s">
        <v>8</v>
      </c>
      <c r="D10" s="12"/>
      <c r="E10" s="12"/>
      <c r="F10" s="13" t="s">
        <v>9</v>
      </c>
      <c r="G10" s="14"/>
      <c r="H10" s="14"/>
      <c r="I10" s="14"/>
      <c r="J10" s="14"/>
      <c r="K10" s="14"/>
      <c r="L10" s="14"/>
      <c r="M10" s="14"/>
      <c r="N10" s="21"/>
    </row>
    <row r="11" ht="15.6" spans="3:14">
      <c r="C11" s="11" t="s">
        <v>10</v>
      </c>
      <c r="D11" s="12"/>
      <c r="E11" s="12"/>
      <c r="F11" s="13" t="s">
        <v>9</v>
      </c>
      <c r="G11" s="14"/>
      <c r="H11" s="14"/>
      <c r="I11" s="14"/>
      <c r="J11" s="14"/>
      <c r="K11" s="14"/>
      <c r="L11" s="14"/>
      <c r="M11" s="14"/>
      <c r="N11" s="21"/>
    </row>
    <row r="14" ht="15.6" spans="3:14">
      <c r="C14" s="17" t="s">
        <v>11</v>
      </c>
      <c r="D14" s="18"/>
      <c r="E14" s="18"/>
      <c r="F14" s="18"/>
      <c r="G14" s="19"/>
      <c r="H14" s="20"/>
      <c r="I14" s="57" t="s">
        <v>12</v>
      </c>
      <c r="J14" s="58"/>
      <c r="K14" s="58"/>
      <c r="L14" s="58"/>
      <c r="M14" s="58"/>
      <c r="N14" s="59"/>
    </row>
    <row r="15" ht="14.45" customHeight="1" spans="3:14">
      <c r="C15" s="13" t="s">
        <v>13</v>
      </c>
      <c r="D15" s="14"/>
      <c r="E15" s="14"/>
      <c r="F15" s="14"/>
      <c r="G15" s="21"/>
      <c r="H15" s="12"/>
      <c r="I15" s="60">
        <f>M28</f>
        <v>0</v>
      </c>
      <c r="J15" s="61"/>
      <c r="K15" s="61"/>
      <c r="L15" s="61"/>
      <c r="M15" s="61"/>
      <c r="N15" s="62"/>
    </row>
    <row r="16" ht="14.45" customHeight="1" spans="3:14">
      <c r="C16" s="13" t="s">
        <v>14</v>
      </c>
      <c r="D16" s="14"/>
      <c r="E16" s="14"/>
      <c r="F16" s="14"/>
      <c r="G16" s="21"/>
      <c r="H16" s="12"/>
      <c r="I16" s="60">
        <f>M53</f>
        <v>0</v>
      </c>
      <c r="J16" s="61"/>
      <c r="K16" s="61"/>
      <c r="L16" s="61"/>
      <c r="M16" s="61"/>
      <c r="N16" s="62"/>
    </row>
    <row r="17" ht="14.45" customHeight="1" spans="3:14">
      <c r="C17" s="22" t="s">
        <v>15</v>
      </c>
      <c r="D17" s="23"/>
      <c r="E17" s="23"/>
      <c r="F17" s="23"/>
      <c r="G17" s="24"/>
      <c r="H17" s="12"/>
      <c r="I17" s="63">
        <f>I15+I16</f>
        <v>0</v>
      </c>
      <c r="J17" s="64"/>
      <c r="K17" s="64"/>
      <c r="L17" s="64"/>
      <c r="M17" s="64"/>
      <c r="N17" s="65"/>
    </row>
    <row r="22" ht="15" customHeight="1" spans="3:14">
      <c r="C22" s="9" t="s">
        <v>16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ht="15" customHeight="1" spans="3:14">
      <c r="C23" s="25" t="s">
        <v>17</v>
      </c>
      <c r="D23" s="26"/>
      <c r="E23" s="25" t="s">
        <v>11</v>
      </c>
      <c r="F23" s="26"/>
      <c r="G23" s="25" t="s">
        <v>18</v>
      </c>
      <c r="H23" s="26"/>
      <c r="I23" s="25" t="s">
        <v>19</v>
      </c>
      <c r="J23" s="26"/>
      <c r="K23" s="25" t="s">
        <v>20</v>
      </c>
      <c r="L23" s="26"/>
      <c r="M23" s="25" t="s">
        <v>21</v>
      </c>
      <c r="N23" s="26"/>
    </row>
    <row r="24" ht="15.6" customHeight="1" spans="3:14">
      <c r="C24" s="27" t="s">
        <v>22</v>
      </c>
      <c r="D24" s="28"/>
      <c r="E24" s="27" t="s">
        <v>23</v>
      </c>
      <c r="F24" s="28"/>
      <c r="G24" s="27" t="s">
        <v>24</v>
      </c>
      <c r="H24" s="28"/>
      <c r="I24" s="66">
        <v>22</v>
      </c>
      <c r="J24" s="67"/>
      <c r="K24" s="66">
        <v>0</v>
      </c>
      <c r="L24" s="67"/>
      <c r="M24" s="68">
        <f>I24*K24</f>
        <v>0</v>
      </c>
      <c r="N24" s="28"/>
    </row>
    <row r="25" ht="26.45" customHeight="1" spans="3:14">
      <c r="C25" s="27" t="s">
        <v>25</v>
      </c>
      <c r="D25" s="28"/>
      <c r="E25" s="27" t="s">
        <v>26</v>
      </c>
      <c r="F25" s="28"/>
      <c r="G25" s="27" t="s">
        <v>24</v>
      </c>
      <c r="H25" s="28"/>
      <c r="I25" s="66">
        <v>55</v>
      </c>
      <c r="J25" s="67"/>
      <c r="K25" s="66">
        <v>0</v>
      </c>
      <c r="L25" s="67"/>
      <c r="M25" s="68">
        <f>I25*K25</f>
        <v>0</v>
      </c>
      <c r="N25" s="28"/>
    </row>
    <row r="26" ht="26.45" customHeight="1" spans="3:14">
      <c r="C26" s="29" t="s">
        <v>27</v>
      </c>
      <c r="D26" s="30"/>
      <c r="E26" s="31" t="s">
        <v>28</v>
      </c>
      <c r="F26" s="30"/>
      <c r="G26" s="27" t="s">
        <v>24</v>
      </c>
      <c r="H26" s="28"/>
      <c r="I26" s="66">
        <v>550</v>
      </c>
      <c r="J26" s="67"/>
      <c r="K26" s="66">
        <v>0</v>
      </c>
      <c r="L26" s="67"/>
      <c r="M26" s="68">
        <f>I26*K26</f>
        <v>0</v>
      </c>
      <c r="N26" s="69"/>
    </row>
    <row r="27" ht="22.9" customHeight="1" spans="3:14">
      <c r="C27" s="32" t="s">
        <v>29</v>
      </c>
      <c r="D27" s="33"/>
      <c r="E27" s="32" t="s">
        <v>30</v>
      </c>
      <c r="F27" s="33"/>
      <c r="G27" s="32" t="s">
        <v>31</v>
      </c>
      <c r="H27" s="33"/>
      <c r="I27" s="70">
        <v>3000</v>
      </c>
      <c r="J27" s="71"/>
      <c r="K27" s="70">
        <v>0</v>
      </c>
      <c r="L27" s="71"/>
      <c r="M27" s="72">
        <f>I27*K27</f>
        <v>0</v>
      </c>
      <c r="N27" s="33"/>
    </row>
    <row r="28" ht="14.45" customHeight="1" spans="3:14">
      <c r="C28" s="34" t="s">
        <v>32</v>
      </c>
      <c r="D28" s="34"/>
      <c r="E28" s="34"/>
      <c r="F28" s="34"/>
      <c r="G28" s="34"/>
      <c r="H28" s="34"/>
      <c r="I28" s="34"/>
      <c r="J28" s="34"/>
      <c r="K28" s="34"/>
      <c r="L28" s="34"/>
      <c r="M28" s="73">
        <f>M24+M25+M26+M27</f>
        <v>0</v>
      </c>
      <c r="N28" s="74"/>
    </row>
    <row r="31" ht="15" customHeight="1" spans="3:14">
      <c r="C31" s="9" t="s">
        <v>33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ht="15.6" spans="3:14">
      <c r="C32" s="25" t="s">
        <v>17</v>
      </c>
      <c r="D32" s="26"/>
      <c r="E32" s="25" t="s">
        <v>11</v>
      </c>
      <c r="F32" s="26"/>
      <c r="G32" s="25" t="s">
        <v>18</v>
      </c>
      <c r="H32" s="26"/>
      <c r="I32" s="25" t="s">
        <v>34</v>
      </c>
      <c r="J32" s="26"/>
      <c r="K32" s="25" t="s">
        <v>20</v>
      </c>
      <c r="L32" s="26"/>
      <c r="M32" s="25" t="s">
        <v>21</v>
      </c>
      <c r="N32" s="26"/>
    </row>
    <row r="33" ht="29.45" customHeight="1" spans="3:14">
      <c r="C33" s="27" t="s">
        <v>22</v>
      </c>
      <c r="D33" s="28"/>
      <c r="E33" s="27" t="s">
        <v>35</v>
      </c>
      <c r="F33" s="28"/>
      <c r="G33" s="27" t="s">
        <v>24</v>
      </c>
      <c r="H33" s="28"/>
      <c r="I33" s="75">
        <v>69</v>
      </c>
      <c r="J33" s="76"/>
      <c r="K33" s="66">
        <v>0</v>
      </c>
      <c r="L33" s="67"/>
      <c r="M33" s="68">
        <f t="shared" ref="M33:M52" si="0">I33*K33</f>
        <v>0</v>
      </c>
      <c r="N33" s="28"/>
    </row>
    <row r="34" ht="29.45" customHeight="1" spans="3:14">
      <c r="C34" s="27" t="s">
        <v>22</v>
      </c>
      <c r="D34" s="28"/>
      <c r="E34" s="27" t="s">
        <v>36</v>
      </c>
      <c r="F34" s="28"/>
      <c r="G34" s="27" t="s">
        <v>24</v>
      </c>
      <c r="H34" s="28"/>
      <c r="I34" s="75">
        <v>56</v>
      </c>
      <c r="J34" s="76"/>
      <c r="K34" s="66">
        <v>0</v>
      </c>
      <c r="L34" s="67"/>
      <c r="M34" s="68">
        <f t="shared" si="0"/>
        <v>0</v>
      </c>
      <c r="N34" s="28"/>
    </row>
    <row r="35" ht="24.6" customHeight="1" spans="3:14">
      <c r="C35" s="27" t="s">
        <v>25</v>
      </c>
      <c r="D35" s="28"/>
      <c r="E35" s="27" t="s">
        <v>37</v>
      </c>
      <c r="F35" s="28"/>
      <c r="G35" s="27" t="s">
        <v>24</v>
      </c>
      <c r="H35" s="28"/>
      <c r="I35" s="77">
        <v>45</v>
      </c>
      <c r="J35" s="78"/>
      <c r="K35" s="66">
        <v>0</v>
      </c>
      <c r="L35" s="67"/>
      <c r="M35" s="68">
        <f t="shared" si="0"/>
        <v>0</v>
      </c>
      <c r="N35" s="28"/>
    </row>
    <row r="36" ht="24.6" customHeight="1" spans="3:14">
      <c r="C36" s="29" t="s">
        <v>38</v>
      </c>
      <c r="D36" s="30"/>
      <c r="E36" s="35" t="s">
        <v>39</v>
      </c>
      <c r="F36" s="36"/>
      <c r="G36" s="31" t="s">
        <v>31</v>
      </c>
      <c r="H36" s="30"/>
      <c r="I36" s="75">
        <v>2800</v>
      </c>
      <c r="J36" s="76"/>
      <c r="K36" s="66">
        <v>0</v>
      </c>
      <c r="L36" s="67"/>
      <c r="M36" s="68">
        <f t="shared" si="0"/>
        <v>0</v>
      </c>
      <c r="N36" s="69"/>
    </row>
    <row r="37" ht="27" customHeight="1" spans="3:14">
      <c r="C37" s="27" t="s">
        <v>38</v>
      </c>
      <c r="D37" s="28"/>
      <c r="E37" s="27" t="s">
        <v>40</v>
      </c>
      <c r="F37" s="28"/>
      <c r="G37" s="27" t="s">
        <v>31</v>
      </c>
      <c r="H37" s="28"/>
      <c r="I37" s="75">
        <v>3500</v>
      </c>
      <c r="J37" s="76"/>
      <c r="K37" s="66">
        <v>0</v>
      </c>
      <c r="L37" s="67"/>
      <c r="M37" s="68">
        <f t="shared" si="0"/>
        <v>0</v>
      </c>
      <c r="N37" s="28"/>
    </row>
    <row r="38" ht="18.6" customHeight="1" spans="3:14">
      <c r="C38" s="27" t="s">
        <v>41</v>
      </c>
      <c r="D38" s="28"/>
      <c r="E38" s="27" t="s">
        <v>42</v>
      </c>
      <c r="F38" s="28"/>
      <c r="G38" s="27" t="s">
        <v>31</v>
      </c>
      <c r="H38" s="28"/>
      <c r="I38" s="79">
        <v>3300</v>
      </c>
      <c r="J38" s="80"/>
      <c r="K38" s="66">
        <v>0</v>
      </c>
      <c r="L38" s="67"/>
      <c r="M38" s="68">
        <f t="shared" si="0"/>
        <v>0</v>
      </c>
      <c r="N38" s="28"/>
    </row>
    <row r="39" ht="18" customHeight="1" spans="3:14">
      <c r="C39" s="32" t="s">
        <v>43</v>
      </c>
      <c r="D39" s="33"/>
      <c r="E39" s="32" t="s">
        <v>44</v>
      </c>
      <c r="F39" s="33"/>
      <c r="G39" s="32" t="s">
        <v>31</v>
      </c>
      <c r="H39" s="33"/>
      <c r="I39" s="81">
        <v>2600</v>
      </c>
      <c r="J39" s="82"/>
      <c r="K39" s="70">
        <v>0</v>
      </c>
      <c r="L39" s="71"/>
      <c r="M39" s="72">
        <f t="shared" si="0"/>
        <v>0</v>
      </c>
      <c r="N39" s="33"/>
    </row>
    <row r="40" ht="26.45" customHeight="1" spans="3:14">
      <c r="C40" s="37" t="s">
        <v>45</v>
      </c>
      <c r="D40" s="37"/>
      <c r="E40" s="37" t="s">
        <v>46</v>
      </c>
      <c r="F40" s="37"/>
      <c r="G40" s="37" t="s">
        <v>31</v>
      </c>
      <c r="H40" s="37"/>
      <c r="I40" s="81">
        <v>5500</v>
      </c>
      <c r="J40" s="82"/>
      <c r="K40" s="70">
        <v>0</v>
      </c>
      <c r="L40" s="71"/>
      <c r="M40" s="72">
        <f t="shared" si="0"/>
        <v>0</v>
      </c>
      <c r="N40" s="33"/>
    </row>
    <row r="41" ht="17.45" customHeight="1" spans="3:14">
      <c r="C41" s="37" t="s">
        <v>47</v>
      </c>
      <c r="D41" s="37"/>
      <c r="E41" s="37" t="s">
        <v>48</v>
      </c>
      <c r="F41" s="37"/>
      <c r="G41" s="37" t="s">
        <v>31</v>
      </c>
      <c r="H41" s="37"/>
      <c r="I41" s="81">
        <v>200</v>
      </c>
      <c r="J41" s="82"/>
      <c r="K41" s="70">
        <v>0</v>
      </c>
      <c r="L41" s="71"/>
      <c r="M41" s="72">
        <f t="shared" si="0"/>
        <v>0</v>
      </c>
      <c r="N41" s="33"/>
    </row>
    <row r="42" spans="3:14">
      <c r="C42" s="37" t="s">
        <v>47</v>
      </c>
      <c r="D42" s="37"/>
      <c r="E42" s="37" t="s">
        <v>49</v>
      </c>
      <c r="F42" s="37"/>
      <c r="G42" s="37" t="s">
        <v>31</v>
      </c>
      <c r="H42" s="37"/>
      <c r="I42" s="81">
        <v>300</v>
      </c>
      <c r="J42" s="82"/>
      <c r="K42" s="70">
        <v>0</v>
      </c>
      <c r="L42" s="71"/>
      <c r="M42" s="72">
        <f t="shared" si="0"/>
        <v>0</v>
      </c>
      <c r="N42" s="33"/>
    </row>
    <row r="43" spans="3:14">
      <c r="C43" s="37" t="s">
        <v>47</v>
      </c>
      <c r="D43" s="37"/>
      <c r="E43" s="13" t="s">
        <v>50</v>
      </c>
      <c r="F43" s="21"/>
      <c r="G43" s="37" t="s">
        <v>31</v>
      </c>
      <c r="H43" s="37"/>
      <c r="I43" s="81">
        <v>200</v>
      </c>
      <c r="J43" s="82"/>
      <c r="K43" s="70">
        <v>0</v>
      </c>
      <c r="L43" s="71"/>
      <c r="M43" s="72">
        <f t="shared" si="0"/>
        <v>0</v>
      </c>
      <c r="N43" s="33"/>
    </row>
    <row r="44" ht="15.6" customHeight="1" spans="3:14">
      <c r="C44" s="37" t="s">
        <v>47</v>
      </c>
      <c r="D44" s="37"/>
      <c r="E44" s="37" t="s">
        <v>51</v>
      </c>
      <c r="F44" s="37"/>
      <c r="G44" s="37" t="s">
        <v>31</v>
      </c>
      <c r="H44" s="37"/>
      <c r="I44" s="81">
        <v>250</v>
      </c>
      <c r="J44" s="82"/>
      <c r="K44" s="70">
        <v>0</v>
      </c>
      <c r="L44" s="71"/>
      <c r="M44" s="72">
        <f t="shared" si="0"/>
        <v>0</v>
      </c>
      <c r="N44" s="33"/>
    </row>
    <row r="45" ht="16.9" customHeight="1" spans="3:14">
      <c r="C45" s="37" t="s">
        <v>47</v>
      </c>
      <c r="D45" s="37"/>
      <c r="E45" s="37" t="s">
        <v>52</v>
      </c>
      <c r="F45" s="37"/>
      <c r="G45" s="37" t="s">
        <v>31</v>
      </c>
      <c r="H45" s="37"/>
      <c r="I45" s="81">
        <v>300</v>
      </c>
      <c r="J45" s="82"/>
      <c r="K45" s="70">
        <v>0</v>
      </c>
      <c r="L45" s="71"/>
      <c r="M45" s="72">
        <f t="shared" si="0"/>
        <v>0</v>
      </c>
      <c r="N45" s="33"/>
    </row>
    <row r="46" spans="3:14">
      <c r="C46" s="37" t="s">
        <v>47</v>
      </c>
      <c r="D46" s="37"/>
      <c r="E46" s="37" t="s">
        <v>53</v>
      </c>
      <c r="F46" s="37"/>
      <c r="G46" s="37" t="s">
        <v>31</v>
      </c>
      <c r="H46" s="37"/>
      <c r="I46" s="81">
        <v>2000</v>
      </c>
      <c r="J46" s="82"/>
      <c r="K46" s="70">
        <v>0</v>
      </c>
      <c r="L46" s="71"/>
      <c r="M46" s="72">
        <f t="shared" si="0"/>
        <v>0</v>
      </c>
      <c r="N46" s="33"/>
    </row>
    <row r="47" spans="3:14">
      <c r="C47" s="37" t="s">
        <v>47</v>
      </c>
      <c r="D47" s="37"/>
      <c r="E47" s="37" t="s">
        <v>54</v>
      </c>
      <c r="F47" s="37"/>
      <c r="G47" s="13" t="s">
        <v>31</v>
      </c>
      <c r="H47" s="21"/>
      <c r="I47" s="81">
        <v>14</v>
      </c>
      <c r="J47" s="82"/>
      <c r="K47" s="70">
        <v>0</v>
      </c>
      <c r="L47" s="71"/>
      <c r="M47" s="72">
        <f t="shared" si="0"/>
        <v>0</v>
      </c>
      <c r="N47" s="33"/>
    </row>
    <row r="48" spans="3:14">
      <c r="C48" s="37" t="s">
        <v>47</v>
      </c>
      <c r="D48" s="37"/>
      <c r="E48" s="13" t="s">
        <v>55</v>
      </c>
      <c r="F48" s="21"/>
      <c r="G48" s="13" t="s">
        <v>56</v>
      </c>
      <c r="H48" s="21"/>
      <c r="I48" s="81">
        <v>260</v>
      </c>
      <c r="J48" s="82"/>
      <c r="K48" s="70">
        <v>0</v>
      </c>
      <c r="L48" s="71"/>
      <c r="M48" s="72">
        <f t="shared" si="0"/>
        <v>0</v>
      </c>
      <c r="N48" s="33"/>
    </row>
    <row r="49" spans="3:14">
      <c r="C49" s="37" t="s">
        <v>47</v>
      </c>
      <c r="D49" s="37"/>
      <c r="E49" s="13" t="s">
        <v>57</v>
      </c>
      <c r="F49" s="21"/>
      <c r="G49" s="13" t="s">
        <v>31</v>
      </c>
      <c r="H49" s="21"/>
      <c r="I49" s="81">
        <v>3500</v>
      </c>
      <c r="J49" s="82"/>
      <c r="K49" s="70">
        <v>0</v>
      </c>
      <c r="L49" s="71"/>
      <c r="M49" s="72">
        <f t="shared" si="0"/>
        <v>0</v>
      </c>
      <c r="N49" s="33"/>
    </row>
    <row r="50" spans="3:14">
      <c r="C50" s="37" t="s">
        <v>47</v>
      </c>
      <c r="D50" s="37"/>
      <c r="E50" s="38" t="s">
        <v>58</v>
      </c>
      <c r="F50" s="38"/>
      <c r="G50" s="39" t="s">
        <v>31</v>
      </c>
      <c r="H50" s="40"/>
      <c r="I50" s="81">
        <v>6500</v>
      </c>
      <c r="J50" s="82"/>
      <c r="K50" s="70">
        <v>0</v>
      </c>
      <c r="L50" s="71"/>
      <c r="M50" s="72">
        <f t="shared" si="0"/>
        <v>0</v>
      </c>
      <c r="N50" s="33"/>
    </row>
    <row r="51" spans="3:14">
      <c r="C51" s="41" t="s">
        <v>59</v>
      </c>
      <c r="D51" s="42"/>
      <c r="E51" s="37" t="s">
        <v>60</v>
      </c>
      <c r="F51" s="43"/>
      <c r="G51" s="37" t="s">
        <v>31</v>
      </c>
      <c r="H51" s="37"/>
      <c r="I51" s="83">
        <v>350</v>
      </c>
      <c r="J51" s="84"/>
      <c r="K51" s="85">
        <v>0</v>
      </c>
      <c r="L51" s="86"/>
      <c r="M51" s="87">
        <f t="shared" si="0"/>
        <v>0</v>
      </c>
      <c r="N51" s="43"/>
    </row>
    <row r="52" spans="3:14">
      <c r="C52" s="44" t="s">
        <v>59</v>
      </c>
      <c r="D52" s="45"/>
      <c r="E52" s="37" t="s">
        <v>61</v>
      </c>
      <c r="F52" s="43"/>
      <c r="G52" s="37" t="s">
        <v>31</v>
      </c>
      <c r="H52" s="43"/>
      <c r="I52" s="83">
        <v>172</v>
      </c>
      <c r="J52" s="84"/>
      <c r="K52" s="85">
        <v>0</v>
      </c>
      <c r="L52" s="86"/>
      <c r="M52" s="87">
        <f t="shared" si="0"/>
        <v>0</v>
      </c>
      <c r="N52" s="43"/>
    </row>
    <row r="53" ht="14.45" customHeight="1" spans="3:14">
      <c r="C53" s="34" t="s">
        <v>62</v>
      </c>
      <c r="D53" s="34"/>
      <c r="E53" s="46"/>
      <c r="F53" s="46"/>
      <c r="G53" s="46"/>
      <c r="H53" s="46"/>
      <c r="I53" s="46"/>
      <c r="J53" s="46"/>
      <c r="K53" s="46"/>
      <c r="L53" s="46"/>
      <c r="M53" s="88">
        <f>SUM(M33,M34,M35,M36,M37,M38,M39,M40,M41,M42,M43,M44,M45,M46,M47,M48,M49,M50,M51,M52)</f>
        <v>0</v>
      </c>
      <c r="N53" s="89"/>
    </row>
    <row r="56" ht="15" customHeight="1" spans="3:14">
      <c r="C56" s="47" t="s">
        <v>63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ht="15.6" spans="3:14">
      <c r="C57" s="25" t="s">
        <v>64</v>
      </c>
      <c r="D57" s="20"/>
      <c r="E57" s="26"/>
      <c r="F57" s="48" t="s">
        <v>65</v>
      </c>
      <c r="G57" s="49" t="s">
        <v>66</v>
      </c>
      <c r="H57" s="50"/>
      <c r="I57" s="50"/>
      <c r="J57" s="50"/>
      <c r="K57" s="90"/>
      <c r="L57" s="91" t="s">
        <v>67</v>
      </c>
      <c r="M57" s="92"/>
      <c r="N57" s="93"/>
    </row>
    <row r="58" ht="40.15" customHeight="1" spans="3:14">
      <c r="C58" s="27" t="s">
        <v>68</v>
      </c>
      <c r="D58" s="12"/>
      <c r="E58" s="28"/>
      <c r="F58" s="51" t="s">
        <v>69</v>
      </c>
      <c r="G58" s="52"/>
      <c r="H58" s="53"/>
      <c r="I58" s="53"/>
      <c r="J58" s="53"/>
      <c r="K58" s="94"/>
      <c r="L58" s="95"/>
      <c r="M58" s="96"/>
      <c r="N58" s="97"/>
    </row>
    <row r="59" ht="40.15" customHeight="1" spans="3:14">
      <c r="C59" s="27" t="s">
        <v>70</v>
      </c>
      <c r="D59" s="12"/>
      <c r="E59" s="28"/>
      <c r="F59" s="51" t="s">
        <v>71</v>
      </c>
      <c r="G59" s="52"/>
      <c r="H59" s="53"/>
      <c r="I59" s="53"/>
      <c r="J59" s="53"/>
      <c r="K59" s="94"/>
      <c r="L59" s="95"/>
      <c r="M59" s="96"/>
      <c r="N59" s="97"/>
    </row>
    <row r="60" ht="40.15" customHeight="1" spans="3:14">
      <c r="C60" s="27" t="s">
        <v>72</v>
      </c>
      <c r="D60" s="12"/>
      <c r="E60" s="28"/>
      <c r="F60" s="51" t="s">
        <v>73</v>
      </c>
      <c r="G60" s="52"/>
      <c r="H60" s="53"/>
      <c r="I60" s="53"/>
      <c r="J60" s="53"/>
      <c r="K60" s="94"/>
      <c r="L60" s="95"/>
      <c r="M60" s="96"/>
      <c r="N60" s="97"/>
    </row>
    <row r="61" ht="40.15" customHeight="1" spans="3:14">
      <c r="C61" s="27" t="s">
        <v>74</v>
      </c>
      <c r="D61" s="12"/>
      <c r="E61" s="28"/>
      <c r="F61" s="51" t="s">
        <v>75</v>
      </c>
      <c r="G61" s="52"/>
      <c r="H61" s="53"/>
      <c r="I61" s="53"/>
      <c r="J61" s="53"/>
      <c r="K61" s="94"/>
      <c r="L61" s="95"/>
      <c r="M61" s="96"/>
      <c r="N61" s="97"/>
    </row>
    <row r="62" ht="40.15" customHeight="1" spans="3:14">
      <c r="C62" s="27" t="s">
        <v>76</v>
      </c>
      <c r="D62" s="12"/>
      <c r="E62" s="28"/>
      <c r="F62" s="51" t="s">
        <v>77</v>
      </c>
      <c r="G62" s="52"/>
      <c r="H62" s="53"/>
      <c r="I62" s="53"/>
      <c r="J62" s="53"/>
      <c r="K62" s="94"/>
      <c r="L62" s="95"/>
      <c r="M62" s="96"/>
      <c r="N62" s="97"/>
    </row>
  </sheetData>
  <mergeCells count="205">
    <mergeCell ref="C1:E1"/>
    <mergeCell ref="L1:N1"/>
    <mergeCell ref="C3:N3"/>
    <mergeCell ref="C5:N5"/>
    <mergeCell ref="C6:E6"/>
    <mergeCell ref="F6:N6"/>
    <mergeCell ref="C7:E7"/>
    <mergeCell ref="F7:N7"/>
    <mergeCell ref="C8:E8"/>
    <mergeCell ref="F8:N8"/>
    <mergeCell ref="C9:E9"/>
    <mergeCell ref="F9:N9"/>
    <mergeCell ref="C10:E10"/>
    <mergeCell ref="F10:N10"/>
    <mergeCell ref="C11:E11"/>
    <mergeCell ref="F11:N11"/>
    <mergeCell ref="C14:G14"/>
    <mergeCell ref="I14:N14"/>
    <mergeCell ref="C15:G15"/>
    <mergeCell ref="I15:N15"/>
    <mergeCell ref="C16:G16"/>
    <mergeCell ref="I16:N16"/>
    <mergeCell ref="C17:G17"/>
    <mergeCell ref="I17:N17"/>
    <mergeCell ref="C22:N22"/>
    <mergeCell ref="C23:D23"/>
    <mergeCell ref="E23:F23"/>
    <mergeCell ref="G23:H23"/>
    <mergeCell ref="I23:J23"/>
    <mergeCell ref="K23:L23"/>
    <mergeCell ref="M23:N23"/>
    <mergeCell ref="C24:D24"/>
    <mergeCell ref="E24:F24"/>
    <mergeCell ref="G24:H24"/>
    <mergeCell ref="I24:J24"/>
    <mergeCell ref="K24:L24"/>
    <mergeCell ref="M24:N24"/>
    <mergeCell ref="C25:D25"/>
    <mergeCell ref="E25:F25"/>
    <mergeCell ref="G25:H25"/>
    <mergeCell ref="I25:J25"/>
    <mergeCell ref="K25:L25"/>
    <mergeCell ref="M25:N25"/>
    <mergeCell ref="C26:D26"/>
    <mergeCell ref="E26:F26"/>
    <mergeCell ref="G26:H26"/>
    <mergeCell ref="I26:J26"/>
    <mergeCell ref="K26:L26"/>
    <mergeCell ref="M26:N26"/>
    <mergeCell ref="C27:D27"/>
    <mergeCell ref="E27:F27"/>
    <mergeCell ref="G27:H27"/>
    <mergeCell ref="I27:J27"/>
    <mergeCell ref="K27:L27"/>
    <mergeCell ref="M27:N27"/>
    <mergeCell ref="C28:L28"/>
    <mergeCell ref="M28:N28"/>
    <mergeCell ref="C31:N31"/>
    <mergeCell ref="C32:D32"/>
    <mergeCell ref="E32:F32"/>
    <mergeCell ref="G32:H32"/>
    <mergeCell ref="I32:J32"/>
    <mergeCell ref="K32:L32"/>
    <mergeCell ref="M32:N32"/>
    <mergeCell ref="C33:D33"/>
    <mergeCell ref="E33:F33"/>
    <mergeCell ref="G33:H33"/>
    <mergeCell ref="I33:J33"/>
    <mergeCell ref="K33:L33"/>
    <mergeCell ref="M33:N33"/>
    <mergeCell ref="C34:D34"/>
    <mergeCell ref="E34:F34"/>
    <mergeCell ref="G34:H34"/>
    <mergeCell ref="I34:J34"/>
    <mergeCell ref="K34:L34"/>
    <mergeCell ref="M34:N34"/>
    <mergeCell ref="C35:D35"/>
    <mergeCell ref="E35:F35"/>
    <mergeCell ref="G35:H35"/>
    <mergeCell ref="I35:J35"/>
    <mergeCell ref="K35:L35"/>
    <mergeCell ref="M35:N35"/>
    <mergeCell ref="C36:D36"/>
    <mergeCell ref="E36:F36"/>
    <mergeCell ref="G36:H36"/>
    <mergeCell ref="I36:J36"/>
    <mergeCell ref="K36:L36"/>
    <mergeCell ref="M36:N36"/>
    <mergeCell ref="C37:D37"/>
    <mergeCell ref="E37:F37"/>
    <mergeCell ref="G37:H37"/>
    <mergeCell ref="I37:J37"/>
    <mergeCell ref="K37:L37"/>
    <mergeCell ref="M37:N37"/>
    <mergeCell ref="C38:D38"/>
    <mergeCell ref="E38:F38"/>
    <mergeCell ref="G38:H38"/>
    <mergeCell ref="I38:J38"/>
    <mergeCell ref="K38:L38"/>
    <mergeCell ref="M38:N38"/>
    <mergeCell ref="C39:D39"/>
    <mergeCell ref="E39:F39"/>
    <mergeCell ref="G39:H39"/>
    <mergeCell ref="I39:J39"/>
    <mergeCell ref="K39:L39"/>
    <mergeCell ref="M39:N39"/>
    <mergeCell ref="C40:D40"/>
    <mergeCell ref="E40:F40"/>
    <mergeCell ref="G40:H40"/>
    <mergeCell ref="I40:J40"/>
    <mergeCell ref="K40:L40"/>
    <mergeCell ref="M40:N40"/>
    <mergeCell ref="C41:D41"/>
    <mergeCell ref="E41:F41"/>
    <mergeCell ref="G41:H41"/>
    <mergeCell ref="I41:J41"/>
    <mergeCell ref="K41:L41"/>
    <mergeCell ref="M41:N41"/>
    <mergeCell ref="C42:D42"/>
    <mergeCell ref="E42:F42"/>
    <mergeCell ref="G42:H42"/>
    <mergeCell ref="I42:J42"/>
    <mergeCell ref="K42:L42"/>
    <mergeCell ref="M42:N42"/>
    <mergeCell ref="C43:D43"/>
    <mergeCell ref="E43:F43"/>
    <mergeCell ref="G43:H43"/>
    <mergeCell ref="I43:J43"/>
    <mergeCell ref="K43:L43"/>
    <mergeCell ref="M43:N43"/>
    <mergeCell ref="C44:D44"/>
    <mergeCell ref="E44:F44"/>
    <mergeCell ref="G44:H44"/>
    <mergeCell ref="I44:J44"/>
    <mergeCell ref="K44:L44"/>
    <mergeCell ref="M44:N44"/>
    <mergeCell ref="C45:D45"/>
    <mergeCell ref="E45:F45"/>
    <mergeCell ref="G45:H45"/>
    <mergeCell ref="I45:J45"/>
    <mergeCell ref="K45:L45"/>
    <mergeCell ref="M45:N45"/>
    <mergeCell ref="C46:D46"/>
    <mergeCell ref="E46:F46"/>
    <mergeCell ref="G46:H46"/>
    <mergeCell ref="I46:J46"/>
    <mergeCell ref="K46:L46"/>
    <mergeCell ref="M46:N46"/>
    <mergeCell ref="C47:D47"/>
    <mergeCell ref="E47:F47"/>
    <mergeCell ref="G47:H47"/>
    <mergeCell ref="I47:J47"/>
    <mergeCell ref="K47:L47"/>
    <mergeCell ref="M47:N47"/>
    <mergeCell ref="C48:D48"/>
    <mergeCell ref="E48:F48"/>
    <mergeCell ref="G48:H48"/>
    <mergeCell ref="I48:J48"/>
    <mergeCell ref="K48:L48"/>
    <mergeCell ref="M48:N48"/>
    <mergeCell ref="C49:D49"/>
    <mergeCell ref="E49:F49"/>
    <mergeCell ref="G49:H49"/>
    <mergeCell ref="I49:J49"/>
    <mergeCell ref="K49:L49"/>
    <mergeCell ref="M49:N49"/>
    <mergeCell ref="C50:D50"/>
    <mergeCell ref="E50:F50"/>
    <mergeCell ref="G50:H50"/>
    <mergeCell ref="I50:J50"/>
    <mergeCell ref="K50:L50"/>
    <mergeCell ref="M50:N50"/>
    <mergeCell ref="C51:D51"/>
    <mergeCell ref="E51:F51"/>
    <mergeCell ref="G51:H51"/>
    <mergeCell ref="I51:J51"/>
    <mergeCell ref="K51:L51"/>
    <mergeCell ref="M51:N51"/>
    <mergeCell ref="C52:D52"/>
    <mergeCell ref="E52:F52"/>
    <mergeCell ref="G52:H52"/>
    <mergeCell ref="I52:J52"/>
    <mergeCell ref="K52:L52"/>
    <mergeCell ref="M52:N52"/>
    <mergeCell ref="C53:L53"/>
    <mergeCell ref="M53:N53"/>
    <mergeCell ref="C56:N56"/>
    <mergeCell ref="C57:E57"/>
    <mergeCell ref="G57:K57"/>
    <mergeCell ref="L57:N57"/>
    <mergeCell ref="C58:E58"/>
    <mergeCell ref="G58:K58"/>
    <mergeCell ref="L58:N58"/>
    <mergeCell ref="C59:E59"/>
    <mergeCell ref="G59:K59"/>
    <mergeCell ref="L59:N59"/>
    <mergeCell ref="C60:E60"/>
    <mergeCell ref="G60:K60"/>
    <mergeCell ref="L60:N60"/>
    <mergeCell ref="C61:E61"/>
    <mergeCell ref="G61:K61"/>
    <mergeCell ref="L61:N61"/>
    <mergeCell ref="C62:E62"/>
    <mergeCell ref="G62:K62"/>
    <mergeCell ref="L62:N62"/>
  </mergeCells>
  <printOptions horizontalCentered="1" verticalCentered="1"/>
  <pageMargins left="0.25" right="0.25" top="0.75" bottom="2.5" header="0.75" footer="2.5"/>
  <pageSetup paperSize="8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D8" sqref="D8"/>
    </sheetView>
  </sheetViews>
  <sheetFormatPr defaultColWidth="9" defaultRowHeight="14.4" outlineLevelCol="3"/>
  <cols>
    <col min="1" max="1" width="17.4259259259259" customWidth="1"/>
    <col min="2" max="2" width="43.4259259259259" customWidth="1"/>
    <col min="4" max="4" width="16" style="1" customWidth="1"/>
    <col min="5" max="5" width="17" customWidth="1"/>
  </cols>
  <sheetData>
    <row r="1" spans="1:1">
      <c r="A1" s="2" t="s">
        <v>33</v>
      </c>
    </row>
    <row r="2" spans="1:4">
      <c r="A2" s="3" t="s">
        <v>17</v>
      </c>
      <c r="B2" s="3" t="s">
        <v>11</v>
      </c>
      <c r="C2" s="3" t="s">
        <v>18</v>
      </c>
      <c r="D2" s="4" t="s">
        <v>78</v>
      </c>
    </row>
    <row r="3" spans="1:4">
      <c r="A3" s="3" t="s">
        <v>22</v>
      </c>
      <c r="B3" s="3" t="s">
        <v>35</v>
      </c>
      <c r="C3" s="3" t="s">
        <v>24</v>
      </c>
      <c r="D3" s="4">
        <v>69</v>
      </c>
    </row>
    <row r="4" spans="1:4">
      <c r="A4" s="3" t="s">
        <v>22</v>
      </c>
      <c r="B4" s="3" t="s">
        <v>36</v>
      </c>
      <c r="C4" s="3" t="s">
        <v>24</v>
      </c>
      <c r="D4" s="4">
        <v>56</v>
      </c>
    </row>
    <row r="5" spans="1:4">
      <c r="A5" s="3" t="s">
        <v>25</v>
      </c>
      <c r="B5" s="3" t="s">
        <v>37</v>
      </c>
      <c r="C5" s="3" t="s">
        <v>24</v>
      </c>
      <c r="D5" s="4">
        <v>45</v>
      </c>
    </row>
    <row r="6" spans="1:4">
      <c r="A6" s="3" t="s">
        <v>38</v>
      </c>
      <c r="B6" s="3" t="s">
        <v>39</v>
      </c>
      <c r="C6" s="3" t="s">
        <v>31</v>
      </c>
      <c r="D6" s="4">
        <v>2800</v>
      </c>
    </row>
    <row r="7" spans="1:4">
      <c r="A7" s="3" t="s">
        <v>38</v>
      </c>
      <c r="B7" s="3" t="s">
        <v>40</v>
      </c>
      <c r="C7" s="3" t="s">
        <v>31</v>
      </c>
      <c r="D7" s="4">
        <v>3500</v>
      </c>
    </row>
    <row r="8" spans="1:4">
      <c r="A8" s="3" t="s">
        <v>41</v>
      </c>
      <c r="B8" s="3" t="s">
        <v>42</v>
      </c>
      <c r="C8" s="3" t="s">
        <v>31</v>
      </c>
      <c r="D8" s="4">
        <v>3300</v>
      </c>
    </row>
    <row r="9" spans="1:4">
      <c r="A9" s="3" t="s">
        <v>43</v>
      </c>
      <c r="B9" s="3" t="s">
        <v>44</v>
      </c>
      <c r="C9" s="3" t="s">
        <v>31</v>
      </c>
      <c r="D9" s="4">
        <v>2600</v>
      </c>
    </row>
    <row r="10" spans="1:4">
      <c r="A10" s="3" t="s">
        <v>45</v>
      </c>
      <c r="B10" s="3" t="s">
        <v>46</v>
      </c>
      <c r="C10" s="3" t="s">
        <v>31</v>
      </c>
      <c r="D10" s="4">
        <v>5500</v>
      </c>
    </row>
    <row r="11" spans="1:4">
      <c r="A11" s="3" t="s">
        <v>47</v>
      </c>
      <c r="B11" s="3" t="s">
        <v>48</v>
      </c>
      <c r="C11" s="3" t="s">
        <v>31</v>
      </c>
      <c r="D11" s="4">
        <v>200</v>
      </c>
    </row>
    <row r="12" spans="1:4">
      <c r="A12" s="3" t="s">
        <v>47</v>
      </c>
      <c r="B12" s="3" t="s">
        <v>49</v>
      </c>
      <c r="C12" s="3" t="s">
        <v>31</v>
      </c>
      <c r="D12" s="4">
        <v>300</v>
      </c>
    </row>
    <row r="13" spans="1:4">
      <c r="A13" s="3" t="s">
        <v>47</v>
      </c>
      <c r="B13" s="3" t="s">
        <v>50</v>
      </c>
      <c r="C13" s="3" t="s">
        <v>31</v>
      </c>
      <c r="D13" s="4">
        <v>200</v>
      </c>
    </row>
    <row r="14" spans="1:4">
      <c r="A14" s="3" t="s">
        <v>47</v>
      </c>
      <c r="B14" s="3" t="s">
        <v>51</v>
      </c>
      <c r="C14" s="3" t="s">
        <v>31</v>
      </c>
      <c r="D14" s="4">
        <v>250</v>
      </c>
    </row>
    <row r="15" spans="1:4">
      <c r="A15" s="3" t="s">
        <v>47</v>
      </c>
      <c r="B15" s="3" t="s">
        <v>52</v>
      </c>
      <c r="C15" s="3" t="s">
        <v>31</v>
      </c>
      <c r="D15" s="4">
        <v>300</v>
      </c>
    </row>
    <row r="16" spans="1:4">
      <c r="A16" s="3" t="s">
        <v>47</v>
      </c>
      <c r="B16" s="3" t="s">
        <v>53</v>
      </c>
      <c r="C16" s="3" t="s">
        <v>31</v>
      </c>
      <c r="D16" s="4">
        <v>2000</v>
      </c>
    </row>
    <row r="17" spans="1:4">
      <c r="A17" s="3" t="s">
        <v>47</v>
      </c>
      <c r="B17" s="3" t="s">
        <v>54</v>
      </c>
      <c r="C17" s="3" t="s">
        <v>31</v>
      </c>
      <c r="D17" s="4">
        <v>14</v>
      </c>
    </row>
    <row r="18" spans="1:4">
      <c r="A18" s="3" t="s">
        <v>47</v>
      </c>
      <c r="B18" s="3" t="s">
        <v>55</v>
      </c>
      <c r="C18" s="3" t="s">
        <v>56</v>
      </c>
      <c r="D18" s="4">
        <v>260</v>
      </c>
    </row>
    <row r="19" spans="1:4">
      <c r="A19" s="3" t="s">
        <v>47</v>
      </c>
      <c r="B19" s="3" t="s">
        <v>57</v>
      </c>
      <c r="C19" s="3" t="s">
        <v>31</v>
      </c>
      <c r="D19" s="4">
        <v>3500</v>
      </c>
    </row>
    <row r="20" spans="1:4">
      <c r="A20" s="3" t="s">
        <v>47</v>
      </c>
      <c r="B20" s="3" t="s">
        <v>58</v>
      </c>
      <c r="C20" s="3" t="s">
        <v>31</v>
      </c>
      <c r="D20" s="4">
        <v>6500</v>
      </c>
    </row>
    <row r="21" spans="1:4">
      <c r="A21" s="3" t="s">
        <v>59</v>
      </c>
      <c r="B21" s="3" t="s">
        <v>60</v>
      </c>
      <c r="C21" s="3" t="s">
        <v>31</v>
      </c>
      <c r="D21" s="4">
        <v>350</v>
      </c>
    </row>
    <row r="22" spans="1:4">
      <c r="A22" s="3" t="s">
        <v>59</v>
      </c>
      <c r="B22" s="3" t="s">
        <v>61</v>
      </c>
      <c r="C22" s="3" t="s">
        <v>31</v>
      </c>
      <c r="D22" s="4">
        <v>172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BOQ</vt:lpstr>
      <vt:lpstr>Price 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Lucy</cp:lastModifiedBy>
  <dcterms:created xsi:type="dcterms:W3CDTF">2025-02-10T08:32:00Z</dcterms:created>
  <cp:lastPrinted>2025-09-19T10:00:00Z</cp:lastPrinted>
  <dcterms:modified xsi:type="dcterms:W3CDTF">2026-02-05T06:22:57Z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ICV">
    <vt:lpwstr>B6C739F1C25B488081DFB654B817D20E_13</vt:lpwstr>
  </property>
  <property fmtid="{D5CDD505-2E9C-101B-9397-08002B2CF9AE}" pid="5" name="KSOProductBuildVer">
    <vt:lpwstr>1033-12.2.0.23196</vt:lpwstr>
  </property>
</Properties>
</file>